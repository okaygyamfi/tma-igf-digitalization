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u-projects\IGFs-Project\Tema Metropolitan Assembly\data\"/>
    </mc:Choice>
  </mc:AlternateContent>
  <xr:revisionPtr revIDLastSave="0" documentId="13_ncr:1_{5DFE8794-0900-4906-9DC4-19FC169E3C0C}" xr6:coauthVersionLast="47" xr6:coauthVersionMax="47" xr10:uidLastSave="{00000000-0000-0000-0000-000000000000}"/>
  <bookViews>
    <workbookView xWindow="-108" yWindow="-108" windowWidth="23256" windowHeight="12456" xr2:uid="{8E6923D7-5596-4EE3-9856-8E00F2F7AD59}"/>
  </bookViews>
  <sheets>
    <sheet name="data" sheetId="1" r:id="rId1"/>
  </sheets>
  <definedNames>
    <definedName name="_xlnm._FilterDatabase" localSheetId="0" hidden="1">data!$A$2:$A$13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3" i="1" l="1"/>
  <c r="Y13" i="1" s="1"/>
  <c r="W13" i="1"/>
  <c r="U13" i="1"/>
  <c r="T13" i="1"/>
  <c r="R13" i="1"/>
  <c r="Q13" i="1"/>
  <c r="O13" i="1"/>
  <c r="N13" i="1"/>
  <c r="L13" i="1"/>
  <c r="K13" i="1"/>
  <c r="I13" i="1"/>
  <c r="H13" i="1"/>
  <c r="F13" i="1"/>
  <c r="G13" i="1" s="1"/>
  <c r="E13" i="1"/>
  <c r="C13" i="1"/>
  <c r="B13" i="1"/>
  <c r="Y12" i="1"/>
  <c r="V12" i="1"/>
  <c r="S12" i="1"/>
  <c r="M11" i="1"/>
  <c r="J11" i="1"/>
  <c r="G11" i="1"/>
  <c r="D11" i="1"/>
  <c r="Y10" i="1"/>
  <c r="V10" i="1"/>
  <c r="S10" i="1"/>
  <c r="P10" i="1"/>
  <c r="M10" i="1"/>
  <c r="J10" i="1"/>
  <c r="G10" i="1"/>
  <c r="D10" i="1"/>
  <c r="Y9" i="1"/>
  <c r="V9" i="1"/>
  <c r="S9" i="1"/>
  <c r="P9" i="1"/>
  <c r="M9" i="1"/>
  <c r="J9" i="1"/>
  <c r="G9" i="1"/>
  <c r="D9" i="1"/>
  <c r="Y8" i="1"/>
  <c r="V8" i="1"/>
  <c r="S8" i="1"/>
  <c r="P8" i="1"/>
  <c r="M8" i="1"/>
  <c r="J8" i="1"/>
  <c r="G8" i="1"/>
  <c r="D8" i="1"/>
  <c r="Y7" i="1"/>
  <c r="V7" i="1"/>
  <c r="S7" i="1"/>
  <c r="P7" i="1"/>
  <c r="M7" i="1"/>
  <c r="J7" i="1"/>
  <c r="G7" i="1"/>
  <c r="D7" i="1"/>
  <c r="Y6" i="1"/>
  <c r="V6" i="1"/>
  <c r="S6" i="1"/>
  <c r="P6" i="1"/>
  <c r="M6" i="1"/>
  <c r="J6" i="1"/>
  <c r="G6" i="1"/>
  <c r="D6" i="1"/>
  <c r="Y5" i="1"/>
  <c r="V5" i="1"/>
  <c r="S5" i="1"/>
  <c r="P5" i="1"/>
  <c r="Y4" i="1"/>
  <c r="V4" i="1"/>
  <c r="S4" i="1"/>
  <c r="P4" i="1"/>
  <c r="M4" i="1"/>
  <c r="J4" i="1"/>
  <c r="G4" i="1"/>
  <c r="D4" i="1"/>
  <c r="J13" i="1" l="1"/>
  <c r="P13" i="1"/>
  <c r="S13" i="1"/>
  <c r="M13" i="1"/>
  <c r="V13" i="1"/>
  <c r="D13" i="1"/>
</calcChain>
</file>

<file path=xl/sharedStrings.xml><?xml version="1.0" encoding="utf-8"?>
<sst xmlns="http://schemas.openxmlformats.org/spreadsheetml/2006/main" count="36" uniqueCount="15">
  <si>
    <t>REVENUE PERFORMANCE -- IGF ONLY</t>
  </si>
  <si>
    <t>ITEMS</t>
  </si>
  <si>
    <t>BUDGET</t>
  </si>
  <si>
    <t>ACTUALS</t>
  </si>
  <si>
    <t>% ACH.</t>
  </si>
  <si>
    <t>Property Rates</t>
  </si>
  <si>
    <t>Basic Rates</t>
  </si>
  <si>
    <t>Fees</t>
  </si>
  <si>
    <t>Fines</t>
  </si>
  <si>
    <t>Licenses</t>
  </si>
  <si>
    <t>Land</t>
  </si>
  <si>
    <t>Rent</t>
  </si>
  <si>
    <t>Miscellaneous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</si>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</sst>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4" fontId="0" fillId="0" borderId="1" xfId="0" applyNumberFormat="1" applyBorder="1"/>
    <xf numFmtId="2" fontId="0" fillId="0" borderId="1" xfId="2" applyNumberFormat="1" applyFont="1" applyBorder="1"/>
    <xf numFmtId="43" fontId="0" fillId="0" borderId="1" xfId="1" applyFont="1" applyBorder="1"/>
    <xf numFmtId="2" fontId="0" fillId="0" borderId="1" xfId="0" applyNumberFormat="1" applyBorder="1"/>
    <xf numFmtId="4" fontId="2" fillId="0" borderId="1" xfId="0" applyNumberFormat="1" applyFont="1" applyBorder="1"/>
    <xf numFmtId="2" fontId="2" fillId="0" borderId="1" xfId="2" applyNumberFormat="1" applyFont="1" applyBorder="1"/>
    <xf numFmtId="43" fontId="2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0C8D-8A37-497E-B5F0-6085F60095AF}">
  <dimension ref="A1:Y13"/>
  <sheetViews>
    <sheetView tabSelected="1" workbookViewId="0">
      <selection activeCell="F22" sqref="F22"/>
    </sheetView>
  </sheetViews>
  <sheetFormatPr defaultRowHeight="14.4" x14ac:dyDescent="0.3"/>
  <cols>
    <col min="1" max="1" width="13.21875" bestFit="1" customWidth="1"/>
    <col min="2" max="3" width="12.6640625" bestFit="1" customWidth="1"/>
    <col min="5" max="5" width="13.109375" bestFit="1" customWidth="1"/>
    <col min="6" max="6" width="12.6640625" bestFit="1" customWidth="1"/>
    <col min="7" max="7" width="7.109375" bestFit="1" customWidth="1"/>
    <col min="8" max="9" width="12.6640625" bestFit="1" customWidth="1"/>
    <col min="11" max="12" width="12.6640625" bestFit="1" customWidth="1"/>
    <col min="14" max="15" width="14.109375" bestFit="1" customWidth="1"/>
    <col min="17" max="18" width="14.109375" bestFit="1" customWidth="1"/>
    <col min="20" max="21" width="14.109375" bestFit="1" customWidth="1"/>
    <col min="23" max="24" width="14.109375" bestFit="1" customWidth="1"/>
  </cols>
  <sheetData>
    <row r="1" spans="1:25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3">
      <c r="A2" s="10" t="s">
        <v>1</v>
      </c>
      <c r="B2" s="10">
        <v>2016</v>
      </c>
      <c r="C2" s="10"/>
      <c r="D2" s="10"/>
      <c r="E2" s="10">
        <v>2017</v>
      </c>
      <c r="F2" s="10"/>
      <c r="G2" s="10"/>
      <c r="H2" s="10">
        <v>2018</v>
      </c>
      <c r="I2" s="10"/>
      <c r="J2" s="10"/>
      <c r="K2" s="10">
        <v>2019</v>
      </c>
      <c r="L2" s="10"/>
      <c r="M2" s="10"/>
      <c r="N2" s="10">
        <v>2020</v>
      </c>
      <c r="O2" s="10"/>
      <c r="P2" s="10"/>
      <c r="Q2" s="10">
        <v>2021</v>
      </c>
      <c r="R2" s="10"/>
      <c r="S2" s="10"/>
      <c r="T2" s="10">
        <v>2022</v>
      </c>
      <c r="U2" s="10"/>
      <c r="V2" s="10"/>
      <c r="W2" s="10">
        <v>2023</v>
      </c>
      <c r="X2" s="10"/>
      <c r="Y2" s="10"/>
    </row>
    <row r="3" spans="1:25" x14ac:dyDescent="0.3">
      <c r="A3" s="10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 t="s">
        <v>2</v>
      </c>
      <c r="I3" s="1" t="s">
        <v>3</v>
      </c>
      <c r="J3" s="1" t="s">
        <v>4</v>
      </c>
      <c r="K3" s="1" t="s">
        <v>2</v>
      </c>
      <c r="L3" s="1" t="s">
        <v>3</v>
      </c>
      <c r="M3" s="1" t="s">
        <v>4</v>
      </c>
      <c r="N3" s="1" t="s">
        <v>2</v>
      </c>
      <c r="O3" s="1" t="s">
        <v>3</v>
      </c>
      <c r="P3" s="1" t="s">
        <v>4</v>
      </c>
      <c r="Q3" s="1" t="s">
        <v>2</v>
      </c>
      <c r="R3" s="1" t="s">
        <v>3</v>
      </c>
      <c r="S3" s="1" t="s">
        <v>4</v>
      </c>
      <c r="T3" s="1" t="s">
        <v>2</v>
      </c>
      <c r="U3" s="1" t="s">
        <v>3</v>
      </c>
      <c r="V3" s="1" t="s">
        <v>4</v>
      </c>
      <c r="W3" s="1" t="s">
        <v>2</v>
      </c>
      <c r="X3" s="1" t="s">
        <v>3</v>
      </c>
      <c r="Y3" s="1" t="s">
        <v>4</v>
      </c>
    </row>
    <row r="4" spans="1:25" x14ac:dyDescent="0.3">
      <c r="A4" s="1" t="s">
        <v>5</v>
      </c>
      <c r="B4" s="2">
        <v>9153533.0399999991</v>
      </c>
      <c r="C4" s="2">
        <v>9051248.1600000001</v>
      </c>
      <c r="D4" s="3">
        <f>(C4/B4)*100</f>
        <v>98.882563928561524</v>
      </c>
      <c r="E4" s="2">
        <v>10857805.68</v>
      </c>
      <c r="F4" s="2">
        <v>4638259.66</v>
      </c>
      <c r="G4" s="3">
        <f>(F4/E4)*100</f>
        <v>42.718204733979</v>
      </c>
      <c r="H4" s="2">
        <v>8960944.3000000007</v>
      </c>
      <c r="I4" s="2">
        <v>7541808.5999999996</v>
      </c>
      <c r="J4" s="3">
        <f>(I4/H4)*100</f>
        <v>84.163100980328593</v>
      </c>
      <c r="K4" s="2">
        <v>8960000</v>
      </c>
      <c r="L4" s="2">
        <v>10529989.08</v>
      </c>
      <c r="M4" s="3">
        <f>(L4/K4)*100</f>
        <v>117.52219955357144</v>
      </c>
      <c r="N4" s="4">
        <v>9500000</v>
      </c>
      <c r="O4" s="4">
        <v>10645177.67</v>
      </c>
      <c r="P4" s="5">
        <f>(O4/N4)*100</f>
        <v>112.05450178947369</v>
      </c>
      <c r="Q4" s="4">
        <v>11695014.25</v>
      </c>
      <c r="R4" s="4">
        <v>11453425.609999999</v>
      </c>
      <c r="S4" s="5">
        <f>(R4/Q4)*100</f>
        <v>97.934259549961638</v>
      </c>
      <c r="T4" s="4">
        <v>13510002.970000001</v>
      </c>
      <c r="U4" s="4">
        <v>13351524.32</v>
      </c>
      <c r="V4" s="5">
        <f>(U4/T4)*100</f>
        <v>98.82695325565868</v>
      </c>
      <c r="W4" s="4">
        <v>11137502.449999999</v>
      </c>
      <c r="X4" s="4">
        <v>6787763.5499999998</v>
      </c>
      <c r="Y4" s="5">
        <f>(X4/W4)*100</f>
        <v>60.945113866170239</v>
      </c>
    </row>
    <row r="5" spans="1:25" x14ac:dyDescent="0.3">
      <c r="A5" s="1" t="s">
        <v>6</v>
      </c>
      <c r="B5" s="4">
        <v>0</v>
      </c>
      <c r="C5" s="4">
        <v>0</v>
      </c>
      <c r="D5" s="3">
        <v>0</v>
      </c>
      <c r="E5" s="4">
        <v>0</v>
      </c>
      <c r="F5" s="4">
        <v>0</v>
      </c>
      <c r="G5" s="3">
        <v>0</v>
      </c>
      <c r="H5" s="4">
        <v>0</v>
      </c>
      <c r="I5" s="4">
        <v>0</v>
      </c>
      <c r="J5" s="3">
        <v>0</v>
      </c>
      <c r="K5" s="4">
        <v>0</v>
      </c>
      <c r="L5" s="4">
        <v>0</v>
      </c>
      <c r="M5" s="3">
        <v>0</v>
      </c>
      <c r="N5" s="4">
        <v>500</v>
      </c>
      <c r="O5" s="4">
        <v>4016.5</v>
      </c>
      <c r="P5" s="5">
        <f t="shared" ref="P5:P13" si="0">(O5/N5)*100</f>
        <v>803.3</v>
      </c>
      <c r="Q5" s="4">
        <v>25000</v>
      </c>
      <c r="R5" s="4">
        <v>8355.2999999999993</v>
      </c>
      <c r="S5" s="5">
        <f t="shared" ref="S5:S10" si="1">(R5/Q5)*100</f>
        <v>33.421199999999999</v>
      </c>
      <c r="T5" s="4">
        <v>10000</v>
      </c>
      <c r="U5" s="4">
        <v>11537</v>
      </c>
      <c r="V5" s="5">
        <f t="shared" ref="V5:V10" si="2">(U5/T5)*100</f>
        <v>115.36999999999999</v>
      </c>
      <c r="W5" s="4">
        <v>12000</v>
      </c>
      <c r="X5" s="4">
        <v>2400</v>
      </c>
      <c r="Y5" s="5">
        <f t="shared" ref="Y5:Y10" si="3">(X5/W5)*100</f>
        <v>20</v>
      </c>
    </row>
    <row r="6" spans="1:25" x14ac:dyDescent="0.3">
      <c r="A6" s="1" t="s">
        <v>7</v>
      </c>
      <c r="B6" s="2">
        <v>5350972</v>
      </c>
      <c r="C6" s="2">
        <v>5384193.8799999999</v>
      </c>
      <c r="D6" s="3">
        <f t="shared" ref="D6:D11" si="4">(C6/B6)*100</f>
        <v>100.6208569209482</v>
      </c>
      <c r="E6" s="2">
        <v>7796981.4400000004</v>
      </c>
      <c r="F6" s="2">
        <v>4820336.45</v>
      </c>
      <c r="G6" s="3">
        <f t="shared" ref="G6:G11" si="5">(F6/E6)*100</f>
        <v>61.823110483125632</v>
      </c>
      <c r="H6" s="2">
        <v>3402086.24</v>
      </c>
      <c r="I6" s="2">
        <v>3627325.35</v>
      </c>
      <c r="J6" s="3">
        <f t="shared" ref="J6:J11" si="6">(I6/H6)*100</f>
        <v>106.62061729511008</v>
      </c>
      <c r="K6" s="2">
        <v>3900000</v>
      </c>
      <c r="L6" s="2">
        <v>3598911.56</v>
      </c>
      <c r="M6" s="3">
        <f t="shared" ref="M6:M11" si="7">(L6/K6)*100</f>
        <v>92.279783589743587</v>
      </c>
      <c r="N6" s="4">
        <v>3566220</v>
      </c>
      <c r="O6" s="4">
        <v>3596748.59</v>
      </c>
      <c r="P6" s="5">
        <f t="shared" si="0"/>
        <v>100.85604898183512</v>
      </c>
      <c r="Q6" s="4">
        <v>3869000</v>
      </c>
      <c r="R6" s="4">
        <v>4428649.22</v>
      </c>
      <c r="S6" s="5">
        <f t="shared" si="1"/>
        <v>114.4649578702507</v>
      </c>
      <c r="T6" s="4">
        <v>3958996</v>
      </c>
      <c r="U6" s="4">
        <v>3529843.82</v>
      </c>
      <c r="V6" s="5">
        <f t="shared" si="2"/>
        <v>89.1600754332664</v>
      </c>
      <c r="W6" s="4">
        <v>4573496</v>
      </c>
      <c r="X6" s="4">
        <v>3907936.89</v>
      </c>
      <c r="Y6" s="5">
        <f t="shared" si="3"/>
        <v>85.447475847797833</v>
      </c>
    </row>
    <row r="7" spans="1:25" x14ac:dyDescent="0.3">
      <c r="A7" s="1" t="s">
        <v>8</v>
      </c>
      <c r="B7" s="2">
        <v>330000</v>
      </c>
      <c r="C7" s="2">
        <v>68867.839999999997</v>
      </c>
      <c r="D7" s="3">
        <f t="shared" si="4"/>
        <v>20.869042424242423</v>
      </c>
      <c r="E7" s="2">
        <v>50800</v>
      </c>
      <c r="F7" s="2">
        <v>32482.9</v>
      </c>
      <c r="G7" s="3">
        <f t="shared" si="5"/>
        <v>63.942716535433078</v>
      </c>
      <c r="H7" s="2">
        <v>23800</v>
      </c>
      <c r="I7" s="2">
        <v>23749.93</v>
      </c>
      <c r="J7" s="3">
        <f t="shared" si="6"/>
        <v>99.7896218487395</v>
      </c>
      <c r="K7" s="2">
        <v>130500</v>
      </c>
      <c r="L7" s="2">
        <v>132643</v>
      </c>
      <c r="M7" s="3">
        <f t="shared" si="7"/>
        <v>101.64214559386973</v>
      </c>
      <c r="N7" s="4">
        <v>31000</v>
      </c>
      <c r="O7" s="4">
        <v>20234</v>
      </c>
      <c r="P7" s="5">
        <f t="shared" si="0"/>
        <v>65.270967741935479</v>
      </c>
      <c r="Q7" s="4">
        <v>36000</v>
      </c>
      <c r="R7" s="4">
        <v>45284</v>
      </c>
      <c r="S7" s="5">
        <f t="shared" si="1"/>
        <v>125.78888888888888</v>
      </c>
      <c r="T7" s="4">
        <v>30000</v>
      </c>
      <c r="U7" s="4">
        <v>22105</v>
      </c>
      <c r="V7" s="5">
        <f t="shared" si="2"/>
        <v>73.683333333333337</v>
      </c>
      <c r="W7" s="4">
        <v>20000</v>
      </c>
      <c r="X7" s="4">
        <v>74883.5</v>
      </c>
      <c r="Y7" s="5">
        <f t="shared" si="3"/>
        <v>374.41749999999996</v>
      </c>
    </row>
    <row r="8" spans="1:25" x14ac:dyDescent="0.3">
      <c r="A8" s="1" t="s">
        <v>9</v>
      </c>
      <c r="B8" s="2">
        <v>6819987.96</v>
      </c>
      <c r="C8" s="2">
        <v>6319107.4000000004</v>
      </c>
      <c r="D8" s="3">
        <f t="shared" si="4"/>
        <v>92.655697298327794</v>
      </c>
      <c r="E8" s="4">
        <v>7677786.8499999996</v>
      </c>
      <c r="F8" s="2">
        <v>4817716.88</v>
      </c>
      <c r="G8" s="3">
        <f t="shared" si="5"/>
        <v>62.748770890924121</v>
      </c>
      <c r="H8" s="2">
        <v>5152270</v>
      </c>
      <c r="I8" s="2">
        <v>5467543.9299999997</v>
      </c>
      <c r="J8" s="3">
        <f t="shared" si="6"/>
        <v>106.11912671502076</v>
      </c>
      <c r="K8" s="2">
        <v>7089422</v>
      </c>
      <c r="L8" s="2">
        <v>5883709.5499999998</v>
      </c>
      <c r="M8" s="3">
        <f t="shared" si="7"/>
        <v>82.992796168714449</v>
      </c>
      <c r="N8" s="4">
        <v>5504780</v>
      </c>
      <c r="O8" s="4">
        <v>4470012.72</v>
      </c>
      <c r="P8" s="5">
        <f t="shared" si="0"/>
        <v>81.202386289733639</v>
      </c>
      <c r="Q8" s="4">
        <v>6360200</v>
      </c>
      <c r="R8" s="4">
        <v>6516234.1399999997</v>
      </c>
      <c r="S8" s="5">
        <f t="shared" si="1"/>
        <v>102.45328983365303</v>
      </c>
      <c r="T8" s="4">
        <v>7156380</v>
      </c>
      <c r="U8" s="4">
        <v>6958347.5300000003</v>
      </c>
      <c r="V8" s="5">
        <f t="shared" si="2"/>
        <v>97.232784312739128</v>
      </c>
      <c r="W8" s="4">
        <v>7630200</v>
      </c>
      <c r="X8" s="4">
        <v>7785271.2000000002</v>
      </c>
      <c r="Y8" s="5">
        <f t="shared" si="3"/>
        <v>102.0323346701266</v>
      </c>
    </row>
    <row r="9" spans="1:25" x14ac:dyDescent="0.3">
      <c r="A9" s="1" t="s">
        <v>10</v>
      </c>
      <c r="B9" s="2">
        <v>2150000</v>
      </c>
      <c r="C9" s="2">
        <v>2250709</v>
      </c>
      <c r="D9" s="3">
        <f t="shared" si="4"/>
        <v>104.68413953488371</v>
      </c>
      <c r="E9" s="2">
        <v>2948969.2</v>
      </c>
      <c r="F9" s="2">
        <v>3494000</v>
      </c>
      <c r="G9" s="3">
        <f t="shared" si="5"/>
        <v>118.48207841573929</v>
      </c>
      <c r="H9" s="2">
        <v>2250000</v>
      </c>
      <c r="I9" s="2">
        <v>2218292.35</v>
      </c>
      <c r="J9" s="3">
        <f t="shared" si="6"/>
        <v>98.590771111111124</v>
      </c>
      <c r="K9" s="2">
        <v>2930000</v>
      </c>
      <c r="L9" s="2">
        <v>3067234.87</v>
      </c>
      <c r="M9" s="3">
        <f t="shared" si="7"/>
        <v>104.68378395904436</v>
      </c>
      <c r="N9" s="4">
        <v>810000</v>
      </c>
      <c r="O9" s="4">
        <v>974399.86</v>
      </c>
      <c r="P9" s="5">
        <f t="shared" si="0"/>
        <v>120.29627901234568</v>
      </c>
      <c r="Q9" s="4">
        <v>1410000</v>
      </c>
      <c r="R9" s="4">
        <v>1840652.14</v>
      </c>
      <c r="S9" s="5">
        <f t="shared" si="1"/>
        <v>130.54270496453898</v>
      </c>
      <c r="T9" s="4">
        <v>2010000</v>
      </c>
      <c r="U9" s="4">
        <v>2003739.93</v>
      </c>
      <c r="V9" s="5">
        <f t="shared" si="2"/>
        <v>99.688553731343276</v>
      </c>
      <c r="W9" s="4">
        <v>2210000</v>
      </c>
      <c r="X9" s="4">
        <v>3530612.9</v>
      </c>
      <c r="Y9" s="5">
        <f t="shared" si="3"/>
        <v>159.75623981900452</v>
      </c>
    </row>
    <row r="10" spans="1:25" x14ac:dyDescent="0.3">
      <c r="A10" s="1" t="s">
        <v>11</v>
      </c>
      <c r="B10" s="2">
        <v>95000</v>
      </c>
      <c r="C10" s="2">
        <v>28732.89</v>
      </c>
      <c r="D10" s="3">
        <f t="shared" si="4"/>
        <v>30.245147368421055</v>
      </c>
      <c r="E10" s="2">
        <v>34211.279999999999</v>
      </c>
      <c r="F10" s="2">
        <v>26000.73</v>
      </c>
      <c r="G10" s="3">
        <f t="shared" si="5"/>
        <v>76.000459497569224</v>
      </c>
      <c r="H10" s="2">
        <v>65000</v>
      </c>
      <c r="I10" s="2">
        <v>38508.410000000003</v>
      </c>
      <c r="J10" s="3">
        <f t="shared" si="6"/>
        <v>59.243707692307702</v>
      </c>
      <c r="K10" s="2">
        <v>42000</v>
      </c>
      <c r="L10" s="2">
        <v>35033.99</v>
      </c>
      <c r="M10" s="3">
        <f t="shared" si="7"/>
        <v>83.414261904761901</v>
      </c>
      <c r="N10" s="4">
        <v>137500</v>
      </c>
      <c r="O10" s="4">
        <v>58719.83</v>
      </c>
      <c r="P10" s="5">
        <f t="shared" si="0"/>
        <v>42.705330909090911</v>
      </c>
      <c r="Q10" s="4">
        <v>125000</v>
      </c>
      <c r="R10" s="4">
        <v>149893.01999999999</v>
      </c>
      <c r="S10" s="5">
        <f t="shared" si="1"/>
        <v>119.91441599999999</v>
      </c>
      <c r="T10" s="4">
        <v>185000</v>
      </c>
      <c r="U10" s="4">
        <v>209285.69</v>
      </c>
      <c r="V10" s="5">
        <f t="shared" si="2"/>
        <v>113.12740000000001</v>
      </c>
      <c r="W10" s="4">
        <v>225000</v>
      </c>
      <c r="X10" s="4">
        <v>236742.69</v>
      </c>
      <c r="Y10" s="5">
        <f t="shared" si="3"/>
        <v>105.21897333333334</v>
      </c>
    </row>
    <row r="11" spans="1:25" x14ac:dyDescent="0.3">
      <c r="A11" s="1" t="s">
        <v>12</v>
      </c>
      <c r="B11" s="2">
        <v>150000</v>
      </c>
      <c r="C11" s="2">
        <v>145639.06</v>
      </c>
      <c r="D11" s="3">
        <f t="shared" si="4"/>
        <v>97.092706666666658</v>
      </c>
      <c r="E11" s="2">
        <v>110000</v>
      </c>
      <c r="F11" s="2">
        <v>621747.67000000004</v>
      </c>
      <c r="G11" s="3">
        <f t="shared" si="5"/>
        <v>565.22515454545464</v>
      </c>
      <c r="H11" s="2">
        <v>50000</v>
      </c>
      <c r="I11" s="2">
        <v>58067.86</v>
      </c>
      <c r="J11" s="3">
        <f t="shared" si="6"/>
        <v>116.13572000000001</v>
      </c>
      <c r="K11" s="2">
        <v>40000</v>
      </c>
      <c r="L11" s="2">
        <v>46854.44</v>
      </c>
      <c r="M11" s="3">
        <f t="shared" si="7"/>
        <v>117.13610000000001</v>
      </c>
      <c r="N11" s="4">
        <v>0</v>
      </c>
      <c r="O11" s="4">
        <v>0</v>
      </c>
      <c r="P11" s="5">
        <v>0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</row>
    <row r="12" spans="1:25" x14ac:dyDescent="0.3">
      <c r="A12" s="1" t="s">
        <v>13</v>
      </c>
      <c r="B12" s="4">
        <v>0</v>
      </c>
      <c r="C12" s="4">
        <v>0</v>
      </c>
      <c r="D12" s="3">
        <v>0</v>
      </c>
      <c r="E12" s="4">
        <v>0</v>
      </c>
      <c r="F12" s="4">
        <v>0</v>
      </c>
      <c r="G12" s="3">
        <v>0</v>
      </c>
      <c r="H12" s="4">
        <v>0</v>
      </c>
      <c r="I12" s="4">
        <v>0</v>
      </c>
      <c r="J12" s="3">
        <v>0</v>
      </c>
      <c r="K12" s="4">
        <v>0</v>
      </c>
      <c r="L12" s="4">
        <v>0</v>
      </c>
      <c r="M12" s="3">
        <v>0</v>
      </c>
      <c r="N12" s="4">
        <v>0</v>
      </c>
      <c r="O12" s="4">
        <v>0</v>
      </c>
      <c r="P12" s="5">
        <v>0</v>
      </c>
      <c r="Q12" s="4">
        <v>8000</v>
      </c>
      <c r="R12" s="4">
        <v>7619.44</v>
      </c>
      <c r="S12" s="5">
        <f t="shared" ref="S12:S13" si="8">(R12/Q12)*100</f>
        <v>95.242999999999995</v>
      </c>
      <c r="T12" s="4">
        <v>5000</v>
      </c>
      <c r="U12" s="4">
        <v>12132.66</v>
      </c>
      <c r="V12" s="5">
        <f t="shared" ref="V12:V13" si="9">(U12/T12)*100</f>
        <v>242.6532</v>
      </c>
      <c r="W12" s="4">
        <v>8000</v>
      </c>
      <c r="X12" s="4">
        <v>10927.89</v>
      </c>
      <c r="Y12" s="5">
        <f t="shared" ref="Y12:Y13" si="10">(X12/W12)*100</f>
        <v>136.598625</v>
      </c>
    </row>
    <row r="13" spans="1:25" ht="28.2" customHeight="1" x14ac:dyDescent="0.3">
      <c r="A13" s="1" t="s">
        <v>14</v>
      </c>
      <c r="B13" s="6">
        <f>SUM(B4:B12)</f>
        <v>24049493</v>
      </c>
      <c r="C13" s="6">
        <f>SUM(C4:C11)</f>
        <v>23248498.23</v>
      </c>
      <c r="D13" s="7">
        <f>(C13/B13)*100</f>
        <v>96.669390202945237</v>
      </c>
      <c r="E13" s="6">
        <f>SUM(E4:E12)</f>
        <v>29476554.449999999</v>
      </c>
      <c r="F13" s="6">
        <f>SUM(F4:F12)</f>
        <v>18450544.290000003</v>
      </c>
      <c r="G13" s="7">
        <f>(F13/E13)*100</f>
        <v>62.593965387972958</v>
      </c>
      <c r="H13" s="6">
        <f>SUM(H4:H12)</f>
        <v>19904100.539999999</v>
      </c>
      <c r="I13" s="6">
        <f>SUM(I4:I12)</f>
        <v>18975296.43</v>
      </c>
      <c r="J13" s="7">
        <f>(I13/H13)*100</f>
        <v>95.333604208170868</v>
      </c>
      <c r="K13" s="6">
        <f>SUM(K4:K12)</f>
        <v>23091922</v>
      </c>
      <c r="L13" s="6">
        <f>SUM(L4:L12)</f>
        <v>23294376.490000002</v>
      </c>
      <c r="M13" s="7">
        <f>(L13/K13)*100</f>
        <v>100.8767329544938</v>
      </c>
      <c r="N13" s="8">
        <f>SUM(N4:N12)</f>
        <v>19550000</v>
      </c>
      <c r="O13" s="8">
        <f>SUM(O4:O12)</f>
        <v>19769309.169999998</v>
      </c>
      <c r="P13" s="5">
        <f t="shared" si="0"/>
        <v>101.12178603580561</v>
      </c>
      <c r="Q13" s="8">
        <f>SUM(Q4:Q12)</f>
        <v>23528214.25</v>
      </c>
      <c r="R13" s="8">
        <f>SUM(R4:R12)</f>
        <v>24450112.870000001</v>
      </c>
      <c r="S13" s="5">
        <f t="shared" si="8"/>
        <v>103.91826855282909</v>
      </c>
      <c r="T13" s="8">
        <f>SUM(T4:T12)</f>
        <v>26865378.969999999</v>
      </c>
      <c r="U13" s="8">
        <f>SUM(U4:U12)</f>
        <v>26098515.950000003</v>
      </c>
      <c r="V13" s="9">
        <f t="shared" si="9"/>
        <v>97.145534329307864</v>
      </c>
      <c r="W13" s="8">
        <f>SUM(W4:W12)</f>
        <v>25816198.449999999</v>
      </c>
      <c r="X13" s="8">
        <f>SUM(X4:X12)</f>
        <v>22336538.620000001</v>
      </c>
      <c r="Y13" s="9">
        <f t="shared" si="10"/>
        <v>86.521408886985071</v>
      </c>
    </row>
  </sheetData>
  <autoFilter ref="A2:A13" xr:uid="{5E850C8D-8A37-497E-B5F0-6085F60095AF}"/>
  <mergeCells count="10">
    <mergeCell ref="A1:Y1"/>
    <mergeCell ref="A2:A3"/>
    <mergeCell ref="B2:D2"/>
    <mergeCell ref="E2:G2"/>
    <mergeCell ref="H2:J2"/>
    <mergeCell ref="K2:M2"/>
    <mergeCell ref="N2:P2"/>
    <mergeCell ref="Q2:S2"/>
    <mergeCell ref="T2:V2"/>
    <mergeCell ref="W2:Y2"/>
  </mergeCells>
  <conditionalFormatting sqref="D4:D13">
    <cfRule type="cellIs" dxfId="15" priority="35" operator="greaterThan">
      <formula>100</formula>
    </cfRule>
    <cfRule type="cellIs" dxfId="14" priority="36" operator="lessThan">
      <formula>100</formula>
    </cfRule>
  </conditionalFormatting>
  <conditionalFormatting sqref="G4:G13">
    <cfRule type="cellIs" dxfId="13" priority="33" operator="greaterThan">
      <formula>100</formula>
    </cfRule>
    <cfRule type="cellIs" dxfId="12" priority="34" operator="lessThan">
      <formula>100</formula>
    </cfRule>
  </conditionalFormatting>
  <conditionalFormatting sqref="J4:J13">
    <cfRule type="cellIs" dxfId="11" priority="31" operator="greaterThan">
      <formula>100</formula>
    </cfRule>
    <cfRule type="cellIs" dxfId="10" priority="32" operator="lessThan">
      <formula>100</formula>
    </cfRule>
  </conditionalFormatting>
  <conditionalFormatting sqref="M4:M13">
    <cfRule type="cellIs" dxfId="9" priority="29" operator="greaterThan">
      <formula>100</formula>
    </cfRule>
    <cfRule type="cellIs" dxfId="8" priority="30" operator="lessThan">
      <formula>100</formula>
    </cfRule>
  </conditionalFormatting>
  <conditionalFormatting sqref="P4:P13">
    <cfRule type="cellIs" dxfId="7" priority="5" operator="lessThan">
      <formula>100</formula>
    </cfRule>
    <cfRule type="cellIs" dxfId="6" priority="6" operator="greaterThan">
      <formula>100</formula>
    </cfRule>
  </conditionalFormatting>
  <conditionalFormatting sqref="S4:S13">
    <cfRule type="cellIs" dxfId="5" priority="3" operator="lessThan">
      <formula>100</formula>
    </cfRule>
    <cfRule type="cellIs" dxfId="4" priority="4" operator="greaterThan">
      <formula>100</formula>
    </cfRule>
  </conditionalFormatting>
  <conditionalFormatting sqref="V4:V13">
    <cfRule type="cellIs" dxfId="3" priority="1" operator="lessThan">
      <formula>100</formula>
    </cfRule>
    <cfRule type="cellIs" dxfId="2" priority="2" operator="greaterThan">
      <formula>100</formula>
    </cfRule>
  </conditionalFormatting>
  <conditionalFormatting sqref="Y4:Y13">
    <cfRule type="cellIs" dxfId="1" priority="7" operator="lessThan">
      <formula>100</formula>
    </cfRule>
    <cfRule type="cellIs" dxfId="0" priority="8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Gyamfi</dc:creator>
  <cp:lastModifiedBy>Nana Gyamfi</cp:lastModifiedBy>
  <dcterms:created xsi:type="dcterms:W3CDTF">2026-01-26T16:29:03Z</dcterms:created>
  <dcterms:modified xsi:type="dcterms:W3CDTF">2026-01-27T10:48:53Z</dcterms:modified>
</cp:coreProperties>
</file>